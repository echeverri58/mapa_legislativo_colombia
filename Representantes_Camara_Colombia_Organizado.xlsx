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ASUS vivobook\Desktop\Elecciones presidenciales\mapa_colombia_test\"/>
    </mc:Choice>
  </mc:AlternateContent>
  <xr:revisionPtr revIDLastSave="0" documentId="13_ncr:1_{12859281-85C4-4618-B871-7486DB03E5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 y Dashboard" sheetId="1" r:id="rId1"/>
    <sheet name="Listado Completo" sheetId="2" r:id="rId2"/>
    <sheet name="Análisis por Partido" sheetId="3" r:id="rId3"/>
  </sheets>
  <definedNames>
    <definedName name="_xlnm._FilterDatabase" localSheetId="1" hidden="1">'Listado Completo'!$A$3:$C$156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3" l="1"/>
  <c r="C41" i="1"/>
</calcChain>
</file>

<file path=xl/sharedStrings.xml><?xml version="1.0" encoding="utf-8"?>
<sst xmlns="http://schemas.openxmlformats.org/spreadsheetml/2006/main" count="549" uniqueCount="240">
  <si>
    <t>Dashboard de Representantes</t>
  </si>
  <si>
    <t>TOTAL REPRESENTANTES</t>
  </si>
  <si>
    <t>DEPARTAMENTOS</t>
  </si>
  <si>
    <t>PARTIDOS / COALICIONES</t>
  </si>
  <si>
    <t>Representantes por Departamento</t>
  </si>
  <si>
    <t>Departamento</t>
  </si>
  <si>
    <t>Cantidad</t>
  </si>
  <si>
    <t>Bogotá</t>
  </si>
  <si>
    <t>Antioquia</t>
  </si>
  <si>
    <t>Valle Del Cauca</t>
  </si>
  <si>
    <t>Santander</t>
  </si>
  <si>
    <t>Atlántico</t>
  </si>
  <si>
    <t>Bolívar</t>
  </si>
  <si>
    <t>Boyacá</t>
  </si>
  <si>
    <t>Tolima</t>
  </si>
  <si>
    <t>Córdoba</t>
  </si>
  <si>
    <t>Norte De Santander</t>
  </si>
  <si>
    <t>Caldas</t>
  </si>
  <si>
    <t>Nariño</t>
  </si>
  <si>
    <t>Magdalena</t>
  </si>
  <si>
    <t>Huila</t>
  </si>
  <si>
    <t>Cesar</t>
  </si>
  <si>
    <t>Cauca</t>
  </si>
  <si>
    <t>Risaralda</t>
  </si>
  <si>
    <t>Sucre</t>
  </si>
  <si>
    <t>Quindío</t>
  </si>
  <si>
    <t>Meta</t>
  </si>
  <si>
    <t>San Andrés Y Providencia</t>
  </si>
  <si>
    <t>Vaupés</t>
  </si>
  <si>
    <t>Amazonas</t>
  </si>
  <si>
    <t>Putumayo</t>
  </si>
  <si>
    <t>La Guajira</t>
  </si>
  <si>
    <t>Guaviare</t>
  </si>
  <si>
    <t>Guainía</t>
  </si>
  <si>
    <t>Casanare</t>
  </si>
  <si>
    <t>Caquetá</t>
  </si>
  <si>
    <t>Arauca</t>
  </si>
  <si>
    <t>Vichada</t>
  </si>
  <si>
    <t>Total General</t>
  </si>
  <si>
    <t>Directorio de Representantes a la Cámara</t>
  </si>
  <si>
    <t>Nombre del Representante</t>
  </si>
  <si>
    <t>Partido o Coalición</t>
  </si>
  <si>
    <t>Mónica Karina Bocanegra Pantoja</t>
  </si>
  <si>
    <t>Partido Liberal Colombiano</t>
  </si>
  <si>
    <t>Orlando Rayo Acosta</t>
  </si>
  <si>
    <t>Coalición La Voz Del Amazonas</t>
  </si>
  <si>
    <t>Camilo Andrés Gómez Mosquera</t>
  </si>
  <si>
    <t>Diver Ney Franco Tejada</t>
  </si>
  <si>
    <t>Jaime Alonso Cano Martínez</t>
  </si>
  <si>
    <t>Partido Conservador Colombiano</t>
  </si>
  <si>
    <t>Luis Miguel López Aristizábal</t>
  </si>
  <si>
    <t>Andrés Felipe Guerra Hoyos</t>
  </si>
  <si>
    <t>Partido Centro Democrático</t>
  </si>
  <si>
    <t>José Gregorio Orjuela Pérez</t>
  </si>
  <si>
    <t>Melissa Orrego Eusse</t>
  </si>
  <si>
    <t>Óscar Darío Pérez Pineda</t>
  </si>
  <si>
    <t>Ana Ligia Mora Martínez</t>
  </si>
  <si>
    <t>Juan David Zuluaga Zuluaga</t>
  </si>
  <si>
    <t>Jhon Jairo Berrío López</t>
  </si>
  <si>
    <t>Luis Guillermo Patiño Aristizábal</t>
  </si>
  <si>
    <t>Creemos</t>
  </si>
  <si>
    <t>Simón Molina Gómez</t>
  </si>
  <si>
    <t>Nataly Vélez Lopera</t>
  </si>
  <si>
    <t>Coalición Cr-Lau-Msn-Oxi</t>
  </si>
  <si>
    <t>Hernán Muriel Pérez</t>
  </si>
  <si>
    <t>Movimiento Político Pacto Histórico</t>
  </si>
  <si>
    <t>Luz Verónica Estrada Holguin</t>
  </si>
  <si>
    <t>David Alejandro Toro Ramírez</t>
  </si>
  <si>
    <t>Movimiento Politico Pacto Histórico</t>
  </si>
  <si>
    <t>Germán Rogelio Rozo Anís</t>
  </si>
  <si>
    <t>Manuel Alexander Pérez Rueda</t>
  </si>
  <si>
    <t>Jezmi Lizeth Barraza Arraut</t>
  </si>
  <si>
    <t>César Antonio Barrera Vergara</t>
  </si>
  <si>
    <t>Estefanel Gutiérrez Pérez</t>
  </si>
  <si>
    <t>Partido Cambio Radical</t>
  </si>
  <si>
    <t>Welfran Junior Mendoza Torres</t>
  </si>
  <si>
    <t>Samir Eduardo Radi Chemas</t>
  </si>
  <si>
    <t>Jaime Arturo Santamaría Acosta</t>
  </si>
  <si>
    <t>Andrea Camila Vargas De La Hoz</t>
  </si>
  <si>
    <t>Bleidy Del Carmen Pérez Ballestas</t>
  </si>
  <si>
    <t>Catherine Juvinao Clavijo</t>
  </si>
  <si>
    <t>Partido Alianza Verde</t>
  </si>
  <si>
    <t>Mauricio Andrés Toro Orjuela</t>
  </si>
  <si>
    <t>Daniel Felipe Briceño Montes</t>
  </si>
  <si>
    <t>José Jaime Uscátegui Pastrana</t>
  </si>
  <si>
    <t>David Gerardo Cote Rodríguez</t>
  </si>
  <si>
    <t>Nelly Patricia Mosquera Murcia</t>
  </si>
  <si>
    <t>Jesús Salim Lorduy Martínez</t>
  </si>
  <si>
    <t>Luz Marina Gordillo Salinas</t>
  </si>
  <si>
    <t>Carol Stefanny Borda Acevedo</t>
  </si>
  <si>
    <t>Movimiento Salvación Nacional</t>
  </si>
  <si>
    <t>María Fernanda Carrascal Rojas</t>
  </si>
  <si>
    <t>Laura Daniela Beltrán Palomares</t>
  </si>
  <si>
    <t>María Del Mar Pizarro García</t>
  </si>
  <si>
    <t>Daniel Mauricio Monroy Hernández</t>
  </si>
  <si>
    <t>Heráclito Landinez Suárez</t>
  </si>
  <si>
    <t>Claudia Teresa Romero Nader</t>
  </si>
  <si>
    <t>Jairo León Vargas</t>
  </si>
  <si>
    <t>Gabriel Becerra Yáñez</t>
  </si>
  <si>
    <t>Yolanda Wong Baldiris</t>
  </si>
  <si>
    <t>María Camila Salas Salas</t>
  </si>
  <si>
    <t>Juliana Aray Franco</t>
  </si>
  <si>
    <t>Andrés Guillermo Montes Celedón</t>
  </si>
  <si>
    <t>José Ricardo Ardila Pinedo</t>
  </si>
  <si>
    <t>Coalición Centro Democrático - Mira</t>
  </si>
  <si>
    <t>Amaury Julio Pérez</t>
  </si>
  <si>
    <t>Coalición Pacto Histórico Bolívar</t>
  </si>
  <si>
    <t>Héctor David Chaparro Chaparro</t>
  </si>
  <si>
    <t>Yamit Noé Hurtado Neira</t>
  </si>
  <si>
    <t>Jaime Raúl Salamanca Torres</t>
  </si>
  <si>
    <t>Eduar Alexis Triana Rincón</t>
  </si>
  <si>
    <t>José Luis Bohórquez López</t>
  </si>
  <si>
    <t>Coalición Pacto Histórico Boyacá</t>
  </si>
  <si>
    <t>Ingrid Marlen Sogamoso Alfonso</t>
  </si>
  <si>
    <t>Coalición Partido Conservador - Movimiento Salvación Nacional</t>
  </si>
  <si>
    <t>José Octavio Cardona León</t>
  </si>
  <si>
    <t>Juan Manuel Londoño Jaramillo</t>
  </si>
  <si>
    <t>Manuel Orlando Correa Bedoya</t>
  </si>
  <si>
    <t>Partido Alianza Social Independiente - ASI</t>
  </si>
  <si>
    <t>Mateo Hidalgo Montoya</t>
  </si>
  <si>
    <t>Coalición Centro Democrático - Partido De La U</t>
  </si>
  <si>
    <t>Santiago Osorio Marín</t>
  </si>
  <si>
    <t>Coalición Pacto Histórico Alianza Verde</t>
  </si>
  <si>
    <t>Leonardo Ramón Ramírez</t>
  </si>
  <si>
    <t>Coalición Revive Caquetá 2.0</t>
  </si>
  <si>
    <t>Juan Pablo Duque González</t>
  </si>
  <si>
    <t>Coalición Caquetá</t>
  </si>
  <si>
    <t>Álvaro Patiño Arledy</t>
  </si>
  <si>
    <t>Diego Fernando García Alfonso</t>
  </si>
  <si>
    <t>Coalición Alianza por Casanare</t>
  </si>
  <si>
    <t>Édgar Gómez Castillo</t>
  </si>
  <si>
    <t>Jorge Hernán Bastidas Rosero</t>
  </si>
  <si>
    <t>Luz Miryan Moncayo</t>
  </si>
  <si>
    <t>Víctor Andrés Armero Hernández</t>
  </si>
  <si>
    <t>Coalición Fuerza Cauca</t>
  </si>
  <si>
    <t>Mello Castro González</t>
  </si>
  <si>
    <t>Alfredo Ape Cuello Baute</t>
  </si>
  <si>
    <t>Carlos Gumercindo De La Peña Durán</t>
  </si>
  <si>
    <t>Partido De La Unión Por La Gente - Partido De La U</t>
  </si>
  <si>
    <t>Alexandra Pineda Ortiz</t>
  </si>
  <si>
    <t>Coalición Pacto Histórico Cesar</t>
  </si>
  <si>
    <t>Nicolás Antonio Barguil Cubillos</t>
  </si>
  <si>
    <t>José Luis Abdala Olivera</t>
  </si>
  <si>
    <t>Juan David Rangel Yanez</t>
  </si>
  <si>
    <t>Martha Isabel Ruiz Solera</t>
  </si>
  <si>
    <t>Coalición Pr1Mero Córdoba</t>
  </si>
  <si>
    <t>Luis Fernando Ballesteros Meza</t>
  </si>
  <si>
    <t>Coalición Pacto Histórico Córdoba</t>
  </si>
  <si>
    <t>Carlos Alberto Cuenca Chaux</t>
  </si>
  <si>
    <t>Jhonn Alexander Molina Betancur</t>
  </si>
  <si>
    <t>Alexander Harley Bermúdez Lasso</t>
  </si>
  <si>
    <t>Jorge Alexander Quevedo Herrera</t>
  </si>
  <si>
    <t>Flora Perdomo Andrade</t>
  </si>
  <si>
    <t>Lucy Mireya Bravo Obando</t>
  </si>
  <si>
    <t>Julio César Triana Quintero</t>
  </si>
  <si>
    <t>Lourdes Paola Mateus Serrano</t>
  </si>
  <si>
    <t>Coalición Pacto Histórico Huila</t>
  </si>
  <si>
    <t>Juan Loreto Gómez Soto</t>
  </si>
  <si>
    <t>Jorge Armando Figueroa Angarita</t>
  </si>
  <si>
    <t>Kelyn Johana González Duarte</t>
  </si>
  <si>
    <t>Franklin Del Cristo Lozano De La Ossa</t>
  </si>
  <si>
    <t>Chadan Francisco Rosado Taylor</t>
  </si>
  <si>
    <t>Elizabeth Sabina Molina Campo</t>
  </si>
  <si>
    <t>Coalición Demócrata Amplia Por La Paz</t>
  </si>
  <si>
    <t>José Felipe Hernández Polo</t>
  </si>
  <si>
    <t>Coalición Pacto Histórico Magdalena</t>
  </si>
  <si>
    <t>Milton Virgilio Carreño Sánchez</t>
  </si>
  <si>
    <t>Daruin Castellanos Romero</t>
  </si>
  <si>
    <t>María del Carmen Mayusa Cruz</t>
  </si>
  <si>
    <t>Coalición Pacto Histórico - Frente Amplio</t>
  </si>
  <si>
    <t>Carlos Alberto Pantoja Cortés</t>
  </si>
  <si>
    <t>Erick Adrián Velasco Burbano</t>
  </si>
  <si>
    <t>Rosita Rosaurina Guevara Rosero</t>
  </si>
  <si>
    <t>Christian Hosep Palacios Ledezma</t>
  </si>
  <si>
    <t>Alejandra Gabriela Abasolo Gómez</t>
  </si>
  <si>
    <t>Avancemos Nariño</t>
  </si>
  <si>
    <t>Luis Ariel Francisco Rodríguez Beltrán</t>
  </si>
  <si>
    <t>José Luis Duarte Contreras</t>
  </si>
  <si>
    <t>Eimy Julieth Suárez González</t>
  </si>
  <si>
    <t>Diana Carolina Riveros Páez</t>
  </si>
  <si>
    <t>Juan Felipe Corzo Álvarez</t>
  </si>
  <si>
    <t>Miguel Ángel Rubio Bravo</t>
  </si>
  <si>
    <t>Coalición Pacto Verde Putumayo</t>
  </si>
  <si>
    <t>Diego Fernando Zambrano Pardo</t>
  </si>
  <si>
    <t>Coalición Putumayo También Es Colombia</t>
  </si>
  <si>
    <t>John Édgar Pérez Rojas</t>
  </si>
  <si>
    <t>Jesús Armando Bedoya Rodríguez</t>
  </si>
  <si>
    <t>Coalición Centro Democrático - Partido Conservador</t>
  </si>
  <si>
    <t>Miguel Ángel Grisales Suárez</t>
  </si>
  <si>
    <t>Coalición Pacto Histórico Quindío</t>
  </si>
  <si>
    <t>José Fredy Arias Herrera</t>
  </si>
  <si>
    <t>José Durgues Espinosa Martínez</t>
  </si>
  <si>
    <t>Franyela Bermúdez Serna</t>
  </si>
  <si>
    <t>Partido De La U - Cambio Radical</t>
  </si>
  <si>
    <t>Fernando Arias Cardona</t>
  </si>
  <si>
    <t>Coalición Pacto Por Risaralda</t>
  </si>
  <si>
    <t>Elizabeth Jay-Pang Díaz</t>
  </si>
  <si>
    <t>Jorge Méndez Hernández</t>
  </si>
  <si>
    <t>Mario José Carvajal Jaimes</t>
  </si>
  <si>
    <t>Guillermo León Blanco Valencia</t>
  </si>
  <si>
    <t>Diego Fran Ariza Pérez</t>
  </si>
  <si>
    <t>Jonathan Eduardo Pineda López</t>
  </si>
  <si>
    <t>Miguel Ángel Pinto Rueda</t>
  </si>
  <si>
    <t>Camilo Alfonso Torres Prada</t>
  </si>
  <si>
    <t>Coalición Pacto Histórico - Santander</t>
  </si>
  <si>
    <t>Yolanda Silva Romero</t>
  </si>
  <si>
    <t>Pedro Antonio Paternina Gulfo</t>
  </si>
  <si>
    <t>Milene Jarava Díaz</t>
  </si>
  <si>
    <t>Alejandro De La Ossa Lacayo</t>
  </si>
  <si>
    <t>Partido Político La Fuerza</t>
  </si>
  <si>
    <t>Guillermo Ignacio Alvira Acosta</t>
  </si>
  <si>
    <t>Delcy Esperanza Isaza Buenaventura</t>
  </si>
  <si>
    <t>José Alejandro Martínez Sánchez</t>
  </si>
  <si>
    <t>Carlos Edward Osorio Aguiar</t>
  </si>
  <si>
    <t>Marco Emilio Hincapié Ramírez</t>
  </si>
  <si>
    <t>Coalición Pacto Verde Por El Tolima</t>
  </si>
  <si>
    <t>Renso Alexander García Parra</t>
  </si>
  <si>
    <t>Víctor Manuel Salcedo Guerrero</t>
  </si>
  <si>
    <t>Luis Alfonso Chavez Rivera</t>
  </si>
  <si>
    <t>Santiago Castro Gómez</t>
  </si>
  <si>
    <t>Jaime Ignacio Arizabaleta Fajardo</t>
  </si>
  <si>
    <t>Juan Pablo Rojas Suárez</t>
  </si>
  <si>
    <t>Coalición Ahora Colombia</t>
  </si>
  <si>
    <t>Hernando González</t>
  </si>
  <si>
    <t>Coalición CR-CJL-Liga De Gobernantes</t>
  </si>
  <si>
    <t>David Pinilla Calero</t>
  </si>
  <si>
    <t>Coalición Liberal - Colombia Renaciente</t>
  </si>
  <si>
    <t>Alfredo Mondragón Garzón</t>
  </si>
  <si>
    <t>Ana Leidy Erazo Ruiz</t>
  </si>
  <si>
    <t>Jorge Augusto Palacio Garzón</t>
  </si>
  <si>
    <t>Laura Isabel Vera Zapata</t>
  </si>
  <si>
    <t>Carlos Eduardo Arizabaleta Corral</t>
  </si>
  <si>
    <t>Paola Andrea Quiñones D'Haro</t>
  </si>
  <si>
    <t>Óscar Fabián Espinosa Torres</t>
  </si>
  <si>
    <t>Camilo Esteban Ávila Morales</t>
  </si>
  <si>
    <t>Luis Carlos Álvarez Morales</t>
  </si>
  <si>
    <t>Juan David Londoño Arango</t>
  </si>
  <si>
    <t>Participación por Partido o Coalición</t>
  </si>
  <si>
    <t>Total Representantes</t>
  </si>
  <si>
    <t>Cundinamarca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</si>
</sst>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sz val="9"/>
      <color rgb="FF595959"/>
      <name val="Segoe UI"/>
    </font>
    <font>
      <b/>
      <sz val="20"/>
      <color rgb="FF1F4E78"/>
      <name val="Segoe UI"/>
    </font>
    <font>
      <b/>
      <sz val="12"/>
      <color rgb="FF2C3E50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4"/>
      <color rgb="FF1F4E78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AEEF3"/>
        <bgColor rgb="FFEAEEF3"/>
      </patternFill>
    </fill>
    <fill>
      <patternFill patternType="solid">
        <fgColor rgb="FF1F4E78"/>
        <bgColor rgb="FF1F4E78"/>
      </patternFill>
    </fill>
    <fill>
      <patternFill patternType="solid">
        <fgColor rgb="FFF2F6F9"/>
        <bgColor rgb="FFF2F6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5" fillId="3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8" fillId="0" borderId="0" xfId="0" applyFont="1"/>
    <xf numFmtId="0" fontId="5" fillId="3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Distribución por Departamento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'Resumen y Dashboard'!$C$9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y Dashboard'!$B$10:$B$40</c:f>
              <c:strCache>
                <c:ptCount val="31"/>
                <c:pt idx="0">
                  <c:v>Bogotá</c:v>
                </c:pt>
                <c:pt idx="1">
                  <c:v>Antioquia</c:v>
                </c:pt>
                <c:pt idx="2">
                  <c:v>Valle Del Cauca</c:v>
                </c:pt>
                <c:pt idx="3">
                  <c:v>Santander</c:v>
                </c:pt>
                <c:pt idx="4">
                  <c:v>Atlántico</c:v>
                </c:pt>
                <c:pt idx="5">
                  <c:v>Bolívar</c:v>
                </c:pt>
                <c:pt idx="6">
                  <c:v>Boyacá</c:v>
                </c:pt>
                <c:pt idx="7">
                  <c:v>Tolima</c:v>
                </c:pt>
                <c:pt idx="8">
                  <c:v>Córdoba</c:v>
                </c:pt>
                <c:pt idx="9">
                  <c:v>Norte De Santander</c:v>
                </c:pt>
                <c:pt idx="10">
                  <c:v>Caldas</c:v>
                </c:pt>
                <c:pt idx="11">
                  <c:v>Nariño</c:v>
                </c:pt>
                <c:pt idx="12">
                  <c:v>Magdalena</c:v>
                </c:pt>
                <c:pt idx="13">
                  <c:v>Huila</c:v>
                </c:pt>
                <c:pt idx="14">
                  <c:v>Cesar</c:v>
                </c:pt>
                <c:pt idx="15">
                  <c:v>Cauca</c:v>
                </c:pt>
                <c:pt idx="16">
                  <c:v>Risaralda</c:v>
                </c:pt>
                <c:pt idx="17">
                  <c:v>Sucre</c:v>
                </c:pt>
                <c:pt idx="18">
                  <c:v>Quindío</c:v>
                </c:pt>
                <c:pt idx="19">
                  <c:v>Meta</c:v>
                </c:pt>
                <c:pt idx="20">
                  <c:v>San Andrés Y Providencia</c:v>
                </c:pt>
                <c:pt idx="21">
                  <c:v>Vaupés</c:v>
                </c:pt>
                <c:pt idx="22">
                  <c:v>Amazonas</c:v>
                </c:pt>
                <c:pt idx="23">
                  <c:v>Putumayo</c:v>
                </c:pt>
                <c:pt idx="24">
                  <c:v>La Guajira</c:v>
                </c:pt>
                <c:pt idx="25">
                  <c:v>Guaviare</c:v>
                </c:pt>
                <c:pt idx="26">
                  <c:v>Guainía</c:v>
                </c:pt>
                <c:pt idx="27">
                  <c:v>Casanare</c:v>
                </c:pt>
                <c:pt idx="28">
                  <c:v>Caquetá</c:v>
                </c:pt>
                <c:pt idx="29">
                  <c:v>Arauca</c:v>
                </c:pt>
                <c:pt idx="30">
                  <c:v>Vichada</c:v>
                </c:pt>
              </c:strCache>
            </c:strRef>
          </c:cat>
          <c:val>
            <c:numRef>
              <c:f>'Resumen y Dashboard'!$C$10:$C$40</c:f>
              <c:numCache>
                <c:formatCode>General</c:formatCode>
                <c:ptCount val="31"/>
                <c:pt idx="0">
                  <c:v>18</c:v>
                </c:pt>
                <c:pt idx="1">
                  <c:v>17</c:v>
                </c:pt>
                <c:pt idx="2">
                  <c:v>13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4-4D21-9FBD-004645352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Cantidad de Representantes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Departamento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57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1"/>
  <sheetViews>
    <sheetView workbookViewId="0"/>
  </sheetViews>
  <sheetFormatPr baseColWidth="10" defaultColWidth="8.88671875" defaultRowHeight="14.4" x14ac:dyDescent="0.3"/>
  <cols>
    <col min="1" max="1" width="3" customWidth="1"/>
    <col min="2" max="2" width="30" customWidth="1"/>
    <col min="3" max="4" width="12" customWidth="1"/>
    <col min="5" max="5" width="17" customWidth="1"/>
    <col min="6" max="7" width="12" customWidth="1"/>
    <col min="8" max="8" width="26" customWidth="1"/>
    <col min="9" max="9" width="12" customWidth="1"/>
  </cols>
  <sheetData>
    <row r="2" spans="2:9" ht="24.6" x14ac:dyDescent="0.55000000000000004">
      <c r="B2" s="1" t="s">
        <v>0</v>
      </c>
    </row>
    <row r="4" spans="2:9" x14ac:dyDescent="0.3">
      <c r="B4" s="12" t="s">
        <v>1</v>
      </c>
      <c r="C4" s="13"/>
      <c r="E4" s="12" t="s">
        <v>2</v>
      </c>
      <c r="F4" s="13"/>
      <c r="H4" s="12" t="s">
        <v>3</v>
      </c>
      <c r="I4" s="13"/>
    </row>
    <row r="5" spans="2:9" ht="29.4" x14ac:dyDescent="0.3">
      <c r="B5" s="14">
        <v>153</v>
      </c>
      <c r="C5" s="13"/>
      <c r="E5" s="14">
        <v>31</v>
      </c>
      <c r="F5" s="13"/>
      <c r="H5" s="14">
        <v>43</v>
      </c>
      <c r="I5" s="13"/>
    </row>
    <row r="8" spans="2:9" ht="19.2" x14ac:dyDescent="0.45">
      <c r="B8" s="2" t="s">
        <v>4</v>
      </c>
    </row>
    <row r="9" spans="2:9" ht="16.8" x14ac:dyDescent="0.4">
      <c r="B9" s="3" t="s">
        <v>5</v>
      </c>
      <c r="C9" s="3" t="s">
        <v>6</v>
      </c>
    </row>
    <row r="10" spans="2:9" ht="15" x14ac:dyDescent="0.35">
      <c r="B10" s="4" t="s">
        <v>7</v>
      </c>
      <c r="C10" s="5">
        <v>18</v>
      </c>
    </row>
    <row r="11" spans="2:9" ht="15" x14ac:dyDescent="0.35">
      <c r="B11" s="6" t="s">
        <v>8</v>
      </c>
      <c r="C11" s="7">
        <v>17</v>
      </c>
    </row>
    <row r="12" spans="2:9" ht="15" x14ac:dyDescent="0.35">
      <c r="B12" s="4" t="s">
        <v>9</v>
      </c>
      <c r="C12" s="5">
        <v>13</v>
      </c>
    </row>
    <row r="13" spans="2:9" ht="15" x14ac:dyDescent="0.35">
      <c r="B13" s="6" t="s">
        <v>10</v>
      </c>
      <c r="C13" s="7">
        <v>7</v>
      </c>
    </row>
    <row r="14" spans="2:9" ht="15" x14ac:dyDescent="0.35">
      <c r="B14" s="4" t="s">
        <v>11</v>
      </c>
      <c r="C14" s="5">
        <v>7</v>
      </c>
    </row>
    <row r="15" spans="2:9" ht="15" x14ac:dyDescent="0.35">
      <c r="B15" s="6" t="s">
        <v>12</v>
      </c>
      <c r="C15" s="7">
        <v>6</v>
      </c>
    </row>
    <row r="16" spans="2:9" ht="15" x14ac:dyDescent="0.35">
      <c r="B16" s="4" t="s">
        <v>13</v>
      </c>
      <c r="C16" s="5">
        <v>6</v>
      </c>
    </row>
    <row r="17" spans="2:3" ht="15" x14ac:dyDescent="0.35">
      <c r="B17" s="6" t="s">
        <v>14</v>
      </c>
      <c r="C17" s="7">
        <v>6</v>
      </c>
    </row>
    <row r="18" spans="2:3" ht="15" x14ac:dyDescent="0.35">
      <c r="B18" s="4" t="s">
        <v>15</v>
      </c>
      <c r="C18" s="5">
        <v>6</v>
      </c>
    </row>
    <row r="19" spans="2:3" ht="15" x14ac:dyDescent="0.35">
      <c r="B19" s="6" t="s">
        <v>16</v>
      </c>
      <c r="C19" s="7">
        <v>5</v>
      </c>
    </row>
    <row r="20" spans="2:3" ht="15" x14ac:dyDescent="0.35">
      <c r="B20" s="4" t="s">
        <v>17</v>
      </c>
      <c r="C20" s="5">
        <v>5</v>
      </c>
    </row>
    <row r="21" spans="2:3" ht="15" x14ac:dyDescent="0.35">
      <c r="B21" s="6" t="s">
        <v>18</v>
      </c>
      <c r="C21" s="7">
        <v>5</v>
      </c>
    </row>
    <row r="22" spans="2:3" ht="15" x14ac:dyDescent="0.35">
      <c r="B22" s="4" t="s">
        <v>19</v>
      </c>
      <c r="C22" s="5">
        <v>5</v>
      </c>
    </row>
    <row r="23" spans="2:3" ht="15" x14ac:dyDescent="0.35">
      <c r="B23" s="6" t="s">
        <v>20</v>
      </c>
      <c r="C23" s="7">
        <v>4</v>
      </c>
    </row>
    <row r="24" spans="2:3" ht="15" x14ac:dyDescent="0.35">
      <c r="B24" s="4" t="s">
        <v>21</v>
      </c>
      <c r="C24" s="5">
        <v>4</v>
      </c>
    </row>
    <row r="25" spans="2:3" ht="15" x14ac:dyDescent="0.35">
      <c r="B25" s="6" t="s">
        <v>22</v>
      </c>
      <c r="C25" s="7">
        <v>4</v>
      </c>
    </row>
    <row r="26" spans="2:3" ht="15" x14ac:dyDescent="0.35">
      <c r="B26" s="4" t="s">
        <v>23</v>
      </c>
      <c r="C26" s="5">
        <v>4</v>
      </c>
    </row>
    <row r="27" spans="2:3" ht="15" x14ac:dyDescent="0.35">
      <c r="B27" s="6" t="s">
        <v>24</v>
      </c>
      <c r="C27" s="7">
        <v>3</v>
      </c>
    </row>
    <row r="28" spans="2:3" ht="15" x14ac:dyDescent="0.35">
      <c r="B28" s="4" t="s">
        <v>25</v>
      </c>
      <c r="C28" s="5">
        <v>3</v>
      </c>
    </row>
    <row r="29" spans="2:3" ht="15" x14ac:dyDescent="0.35">
      <c r="B29" s="6" t="s">
        <v>26</v>
      </c>
      <c r="C29" s="7">
        <v>3</v>
      </c>
    </row>
    <row r="30" spans="2:3" ht="15" x14ac:dyDescent="0.35">
      <c r="B30" s="4" t="s">
        <v>27</v>
      </c>
      <c r="C30" s="5">
        <v>2</v>
      </c>
    </row>
    <row r="31" spans="2:3" ht="15" x14ac:dyDescent="0.35">
      <c r="B31" s="6" t="s">
        <v>28</v>
      </c>
      <c r="C31" s="7">
        <v>2</v>
      </c>
    </row>
    <row r="32" spans="2:3" ht="15" x14ac:dyDescent="0.35">
      <c r="B32" s="4" t="s">
        <v>29</v>
      </c>
      <c r="C32" s="5">
        <v>2</v>
      </c>
    </row>
    <row r="33" spans="2:3" ht="15" x14ac:dyDescent="0.35">
      <c r="B33" s="6" t="s">
        <v>30</v>
      </c>
      <c r="C33" s="7">
        <v>2</v>
      </c>
    </row>
    <row r="34" spans="2:3" ht="15" x14ac:dyDescent="0.35">
      <c r="B34" s="4" t="s">
        <v>31</v>
      </c>
      <c r="C34" s="5">
        <v>2</v>
      </c>
    </row>
    <row r="35" spans="2:3" ht="15" x14ac:dyDescent="0.35">
      <c r="B35" s="6" t="s">
        <v>32</v>
      </c>
      <c r="C35" s="7">
        <v>2</v>
      </c>
    </row>
    <row r="36" spans="2:3" ht="15" x14ac:dyDescent="0.35">
      <c r="B36" s="4" t="s">
        <v>33</v>
      </c>
      <c r="C36" s="5">
        <v>2</v>
      </c>
    </row>
    <row r="37" spans="2:3" ht="15" x14ac:dyDescent="0.35">
      <c r="B37" s="6" t="s">
        <v>34</v>
      </c>
      <c r="C37" s="7">
        <v>2</v>
      </c>
    </row>
    <row r="38" spans="2:3" ht="15" x14ac:dyDescent="0.35">
      <c r="B38" s="4" t="s">
        <v>35</v>
      </c>
      <c r="C38" s="5">
        <v>2</v>
      </c>
    </row>
    <row r="39" spans="2:3" ht="15" x14ac:dyDescent="0.35">
      <c r="B39" s="6" t="s">
        <v>36</v>
      </c>
      <c r="C39" s="7">
        <v>2</v>
      </c>
    </row>
    <row r="40" spans="2:3" ht="15" x14ac:dyDescent="0.35">
      <c r="B40" s="4" t="s">
        <v>37</v>
      </c>
      <c r="C40" s="5">
        <v>2</v>
      </c>
    </row>
    <row r="41" spans="2:3" ht="15" x14ac:dyDescent="0.35">
      <c r="B41" s="8" t="s">
        <v>38</v>
      </c>
      <c r="C41" s="9">
        <f>SUM(C10:C40)</f>
        <v>153</v>
      </c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6"/>
  <sheetViews>
    <sheetView tabSelected="1" topLeftCell="A33" workbookViewId="0">
      <selection activeCell="B44" sqref="B44"/>
    </sheetView>
  </sheetViews>
  <sheetFormatPr baseColWidth="10" defaultColWidth="8.88671875" defaultRowHeight="14.4" x14ac:dyDescent="0.3"/>
  <cols>
    <col min="1" max="1" width="25" customWidth="1"/>
    <col min="2" max="2" width="40" customWidth="1"/>
    <col min="3" max="3" width="50" customWidth="1"/>
  </cols>
  <sheetData>
    <row r="1" spans="1:3" ht="20.399999999999999" x14ac:dyDescent="0.45">
      <c r="A1" s="10" t="s">
        <v>39</v>
      </c>
    </row>
    <row r="3" spans="1:3" ht="16.8" x14ac:dyDescent="0.3">
      <c r="A3" s="11" t="s">
        <v>5</v>
      </c>
      <c r="B3" s="11" t="s">
        <v>40</v>
      </c>
      <c r="C3" s="11" t="s">
        <v>41</v>
      </c>
    </row>
    <row r="4" spans="1:3" ht="15" x14ac:dyDescent="0.35">
      <c r="A4" s="4" t="s">
        <v>29</v>
      </c>
      <c r="B4" s="4" t="s">
        <v>42</v>
      </c>
      <c r="C4" s="4" t="s">
        <v>43</v>
      </c>
    </row>
    <row r="5" spans="1:3" ht="15" x14ac:dyDescent="0.35">
      <c r="A5" s="6" t="s">
        <v>29</v>
      </c>
      <c r="B5" s="6" t="s">
        <v>44</v>
      </c>
      <c r="C5" s="6" t="s">
        <v>45</v>
      </c>
    </row>
    <row r="6" spans="1:3" ht="15" x14ac:dyDescent="0.35">
      <c r="A6" s="4" t="s">
        <v>8</v>
      </c>
      <c r="B6" s="4" t="s">
        <v>46</v>
      </c>
      <c r="C6" s="4" t="s">
        <v>43</v>
      </c>
    </row>
    <row r="7" spans="1:3" ht="15" x14ac:dyDescent="0.35">
      <c r="A7" s="6" t="s">
        <v>8</v>
      </c>
      <c r="B7" s="6" t="s">
        <v>47</v>
      </c>
      <c r="C7" s="6" t="s">
        <v>43</v>
      </c>
    </row>
    <row r="8" spans="1:3" ht="15" x14ac:dyDescent="0.35">
      <c r="A8" s="4" t="s">
        <v>8</v>
      </c>
      <c r="B8" s="4" t="s">
        <v>48</v>
      </c>
      <c r="C8" s="4" t="s">
        <v>49</v>
      </c>
    </row>
    <row r="9" spans="1:3" ht="15" x14ac:dyDescent="0.35">
      <c r="A9" s="6" t="s">
        <v>8</v>
      </c>
      <c r="B9" s="6" t="s">
        <v>50</v>
      </c>
      <c r="C9" s="6" t="s">
        <v>49</v>
      </c>
    </row>
    <row r="10" spans="1:3" ht="15" x14ac:dyDescent="0.35">
      <c r="A10" s="4" t="s">
        <v>8</v>
      </c>
      <c r="B10" s="4" t="s">
        <v>51</v>
      </c>
      <c r="C10" s="4" t="s">
        <v>52</v>
      </c>
    </row>
    <row r="11" spans="1:3" ht="15" x14ac:dyDescent="0.35">
      <c r="A11" s="6" t="s">
        <v>8</v>
      </c>
      <c r="B11" s="6" t="s">
        <v>53</v>
      </c>
      <c r="C11" s="6" t="s">
        <v>52</v>
      </c>
    </row>
    <row r="12" spans="1:3" ht="15" x14ac:dyDescent="0.35">
      <c r="A12" s="4" t="s">
        <v>8</v>
      </c>
      <c r="B12" s="4" t="s">
        <v>54</v>
      </c>
      <c r="C12" s="4" t="s">
        <v>52</v>
      </c>
    </row>
    <row r="13" spans="1:3" ht="15" x14ac:dyDescent="0.35">
      <c r="A13" s="6" t="s">
        <v>8</v>
      </c>
      <c r="B13" s="6" t="s">
        <v>55</v>
      </c>
      <c r="C13" s="6" t="s">
        <v>52</v>
      </c>
    </row>
    <row r="14" spans="1:3" ht="15" x14ac:dyDescent="0.35">
      <c r="A14" s="4" t="s">
        <v>8</v>
      </c>
      <c r="B14" s="4" t="s">
        <v>56</v>
      </c>
      <c r="C14" s="4" t="s">
        <v>52</v>
      </c>
    </row>
    <row r="15" spans="1:3" ht="15" x14ac:dyDescent="0.35">
      <c r="A15" s="6" t="s">
        <v>8</v>
      </c>
      <c r="B15" s="6" t="s">
        <v>57</v>
      </c>
      <c r="C15" s="6" t="s">
        <v>52</v>
      </c>
    </row>
    <row r="16" spans="1:3" ht="15" x14ac:dyDescent="0.35">
      <c r="A16" s="4" t="s">
        <v>8</v>
      </c>
      <c r="B16" s="4" t="s">
        <v>58</v>
      </c>
      <c r="C16" s="4" t="s">
        <v>52</v>
      </c>
    </row>
    <row r="17" spans="1:3" ht="15" x14ac:dyDescent="0.35">
      <c r="A17" s="6" t="s">
        <v>8</v>
      </c>
      <c r="B17" s="6" t="s">
        <v>59</v>
      </c>
      <c r="C17" s="6" t="s">
        <v>60</v>
      </c>
    </row>
    <row r="18" spans="1:3" ht="15" x14ac:dyDescent="0.35">
      <c r="A18" s="4" t="s">
        <v>8</v>
      </c>
      <c r="B18" s="4" t="s">
        <v>61</v>
      </c>
      <c r="C18" s="4" t="s">
        <v>60</v>
      </c>
    </row>
    <row r="19" spans="1:3" ht="15" x14ac:dyDescent="0.35">
      <c r="A19" s="6" t="s">
        <v>8</v>
      </c>
      <c r="B19" s="6" t="s">
        <v>62</v>
      </c>
      <c r="C19" s="6" t="s">
        <v>63</v>
      </c>
    </row>
    <row r="20" spans="1:3" ht="15" x14ac:dyDescent="0.35">
      <c r="A20" s="4" t="s">
        <v>8</v>
      </c>
      <c r="B20" s="4" t="s">
        <v>64</v>
      </c>
      <c r="C20" s="4" t="s">
        <v>65</v>
      </c>
    </row>
    <row r="21" spans="1:3" ht="15" x14ac:dyDescent="0.35">
      <c r="A21" s="6" t="s">
        <v>8</v>
      </c>
      <c r="B21" s="6" t="s">
        <v>66</v>
      </c>
      <c r="C21" s="6" t="s">
        <v>65</v>
      </c>
    </row>
    <row r="22" spans="1:3" ht="15" x14ac:dyDescent="0.35">
      <c r="A22" s="4" t="s">
        <v>8</v>
      </c>
      <c r="B22" s="4" t="s">
        <v>67</v>
      </c>
      <c r="C22" s="4" t="s">
        <v>68</v>
      </c>
    </row>
    <row r="23" spans="1:3" ht="15" x14ac:dyDescent="0.35">
      <c r="A23" s="6" t="s">
        <v>36</v>
      </c>
      <c r="B23" s="6" t="s">
        <v>69</v>
      </c>
      <c r="C23" s="6" t="s">
        <v>43</v>
      </c>
    </row>
    <row r="24" spans="1:3" ht="15" x14ac:dyDescent="0.35">
      <c r="A24" s="4" t="s">
        <v>36</v>
      </c>
      <c r="B24" s="4" t="s">
        <v>70</v>
      </c>
      <c r="C24" s="4" t="s">
        <v>52</v>
      </c>
    </row>
    <row r="25" spans="1:3" ht="15" x14ac:dyDescent="0.35">
      <c r="A25" s="6" t="s">
        <v>11</v>
      </c>
      <c r="B25" s="6" t="s">
        <v>71</v>
      </c>
      <c r="C25" s="6" t="s">
        <v>43</v>
      </c>
    </row>
    <row r="26" spans="1:3" ht="15" x14ac:dyDescent="0.35">
      <c r="A26" s="4" t="s">
        <v>11</v>
      </c>
      <c r="B26" s="4" t="s">
        <v>72</v>
      </c>
      <c r="C26" s="4" t="s">
        <v>43</v>
      </c>
    </row>
    <row r="27" spans="1:3" ht="15" x14ac:dyDescent="0.35">
      <c r="A27" s="6" t="s">
        <v>11</v>
      </c>
      <c r="B27" s="6" t="s">
        <v>73</v>
      </c>
      <c r="C27" s="6" t="s">
        <v>74</v>
      </c>
    </row>
    <row r="28" spans="1:3" ht="15" x14ac:dyDescent="0.35">
      <c r="A28" s="4" t="s">
        <v>11</v>
      </c>
      <c r="B28" s="4" t="s">
        <v>75</v>
      </c>
      <c r="C28" s="4" t="s">
        <v>74</v>
      </c>
    </row>
    <row r="29" spans="1:3" ht="15" x14ac:dyDescent="0.35">
      <c r="A29" s="6" t="s">
        <v>11</v>
      </c>
      <c r="B29" s="6" t="s">
        <v>76</v>
      </c>
      <c r="C29" s="6" t="s">
        <v>74</v>
      </c>
    </row>
    <row r="30" spans="1:3" ht="15" x14ac:dyDescent="0.35">
      <c r="A30" s="4" t="s">
        <v>11</v>
      </c>
      <c r="B30" s="4" t="s">
        <v>77</v>
      </c>
      <c r="C30" s="4" t="s">
        <v>65</v>
      </c>
    </row>
    <row r="31" spans="1:3" ht="15" x14ac:dyDescent="0.35">
      <c r="A31" s="6" t="s">
        <v>11</v>
      </c>
      <c r="B31" s="6" t="s">
        <v>78</v>
      </c>
      <c r="C31" s="6" t="s">
        <v>65</v>
      </c>
    </row>
    <row r="32" spans="1:3" ht="15" x14ac:dyDescent="0.35">
      <c r="A32" s="4" t="s">
        <v>239</v>
      </c>
      <c r="B32" s="4" t="s">
        <v>79</v>
      </c>
      <c r="C32" s="4" t="s">
        <v>43</v>
      </c>
    </row>
    <row r="33" spans="1:3" ht="15" x14ac:dyDescent="0.35">
      <c r="A33" s="4" t="s">
        <v>239</v>
      </c>
      <c r="B33" s="6" t="s">
        <v>80</v>
      </c>
      <c r="C33" s="6" t="s">
        <v>81</v>
      </c>
    </row>
    <row r="34" spans="1:3" ht="15" x14ac:dyDescent="0.35">
      <c r="A34" s="4" t="s">
        <v>239</v>
      </c>
      <c r="B34" s="4" t="s">
        <v>82</v>
      </c>
      <c r="C34" s="4" t="s">
        <v>81</v>
      </c>
    </row>
    <row r="35" spans="1:3" ht="15" x14ac:dyDescent="0.35">
      <c r="A35" s="4" t="s">
        <v>239</v>
      </c>
      <c r="B35" s="6" t="s">
        <v>83</v>
      </c>
      <c r="C35" s="6" t="s">
        <v>52</v>
      </c>
    </row>
    <row r="36" spans="1:3" ht="15" x14ac:dyDescent="0.35">
      <c r="A36" s="4" t="s">
        <v>239</v>
      </c>
      <c r="B36" s="4" t="s">
        <v>84</v>
      </c>
      <c r="C36" s="4" t="s">
        <v>52</v>
      </c>
    </row>
    <row r="37" spans="1:3" ht="15" x14ac:dyDescent="0.35">
      <c r="A37" s="4" t="s">
        <v>239</v>
      </c>
      <c r="B37" s="6" t="s">
        <v>85</v>
      </c>
      <c r="C37" s="6" t="s">
        <v>52</v>
      </c>
    </row>
    <row r="38" spans="1:3" ht="15" x14ac:dyDescent="0.35">
      <c r="A38" s="4" t="s">
        <v>239</v>
      </c>
      <c r="B38" s="4" t="s">
        <v>86</v>
      </c>
      <c r="C38" s="4" t="s">
        <v>52</v>
      </c>
    </row>
    <row r="39" spans="1:3" ht="15" x14ac:dyDescent="0.35">
      <c r="A39" s="4" t="s">
        <v>239</v>
      </c>
      <c r="B39" s="6" t="s">
        <v>87</v>
      </c>
      <c r="C39" s="6" t="s">
        <v>52</v>
      </c>
    </row>
    <row r="40" spans="1:3" ht="15" x14ac:dyDescent="0.35">
      <c r="A40" s="4" t="s">
        <v>239</v>
      </c>
      <c r="B40" s="4" t="s">
        <v>88</v>
      </c>
      <c r="C40" s="4" t="s">
        <v>52</v>
      </c>
    </row>
    <row r="41" spans="1:3" ht="15" x14ac:dyDescent="0.35">
      <c r="A41" s="4" t="s">
        <v>239</v>
      </c>
      <c r="B41" s="6" t="s">
        <v>89</v>
      </c>
      <c r="C41" s="6" t="s">
        <v>90</v>
      </c>
    </row>
    <row r="42" spans="1:3" ht="15" x14ac:dyDescent="0.35">
      <c r="A42" s="4" t="s">
        <v>239</v>
      </c>
      <c r="B42" s="4" t="s">
        <v>91</v>
      </c>
      <c r="C42" s="4" t="s">
        <v>65</v>
      </c>
    </row>
    <row r="43" spans="1:3" ht="15" x14ac:dyDescent="0.35">
      <c r="A43" s="4" t="s">
        <v>239</v>
      </c>
      <c r="B43" s="6" t="s">
        <v>92</v>
      </c>
      <c r="C43" s="6" t="s">
        <v>65</v>
      </c>
    </row>
    <row r="44" spans="1:3" ht="15" x14ac:dyDescent="0.35">
      <c r="A44" s="4" t="s">
        <v>239</v>
      </c>
      <c r="B44" s="4" t="s">
        <v>93</v>
      </c>
      <c r="C44" s="4" t="s">
        <v>65</v>
      </c>
    </row>
    <row r="45" spans="1:3" ht="15" x14ac:dyDescent="0.35">
      <c r="A45" s="4" t="s">
        <v>239</v>
      </c>
      <c r="B45" s="6" t="s">
        <v>94</v>
      </c>
      <c r="C45" s="6" t="s">
        <v>65</v>
      </c>
    </row>
    <row r="46" spans="1:3" ht="15" x14ac:dyDescent="0.35">
      <c r="A46" s="4" t="s">
        <v>239</v>
      </c>
      <c r="B46" s="4" t="s">
        <v>95</v>
      </c>
      <c r="C46" s="4" t="s">
        <v>65</v>
      </c>
    </row>
    <row r="47" spans="1:3" ht="15" x14ac:dyDescent="0.35">
      <c r="A47" s="4" t="s">
        <v>239</v>
      </c>
      <c r="B47" s="6" t="s">
        <v>96</v>
      </c>
      <c r="C47" s="6" t="s">
        <v>65</v>
      </c>
    </row>
    <row r="48" spans="1:3" ht="15" x14ac:dyDescent="0.35">
      <c r="A48" s="4" t="s">
        <v>239</v>
      </c>
      <c r="B48" s="4" t="s">
        <v>97</v>
      </c>
      <c r="C48" s="4" t="s">
        <v>65</v>
      </c>
    </row>
    <row r="49" spans="1:3" ht="15" x14ac:dyDescent="0.35">
      <c r="A49" s="4" t="s">
        <v>239</v>
      </c>
      <c r="B49" s="6" t="s">
        <v>98</v>
      </c>
      <c r="C49" s="6" t="s">
        <v>65</v>
      </c>
    </row>
    <row r="50" spans="1:3" ht="15" x14ac:dyDescent="0.35">
      <c r="A50" s="4" t="s">
        <v>12</v>
      </c>
      <c r="B50" s="4" t="s">
        <v>99</v>
      </c>
      <c r="C50" s="4" t="s">
        <v>43</v>
      </c>
    </row>
    <row r="51" spans="1:3" ht="15" x14ac:dyDescent="0.35">
      <c r="A51" s="6" t="s">
        <v>12</v>
      </c>
      <c r="B51" s="6" t="s">
        <v>100</v>
      </c>
      <c r="C51" s="6" t="s">
        <v>49</v>
      </c>
    </row>
    <row r="52" spans="1:3" ht="15" x14ac:dyDescent="0.35">
      <c r="A52" s="4" t="s">
        <v>12</v>
      </c>
      <c r="B52" s="4" t="s">
        <v>101</v>
      </c>
      <c r="C52" s="4" t="s">
        <v>49</v>
      </c>
    </row>
    <row r="53" spans="1:3" ht="15" x14ac:dyDescent="0.35">
      <c r="A53" s="6" t="s">
        <v>12</v>
      </c>
      <c r="B53" s="6" t="s">
        <v>102</v>
      </c>
      <c r="C53" s="6" t="s">
        <v>49</v>
      </c>
    </row>
    <row r="54" spans="1:3" ht="15" x14ac:dyDescent="0.35">
      <c r="A54" s="4" t="s">
        <v>12</v>
      </c>
      <c r="B54" s="4" t="s">
        <v>103</v>
      </c>
      <c r="C54" s="4" t="s">
        <v>104</v>
      </c>
    </row>
    <row r="55" spans="1:3" ht="15" x14ac:dyDescent="0.35">
      <c r="A55" s="6" t="s">
        <v>12</v>
      </c>
      <c r="B55" s="6" t="s">
        <v>105</v>
      </c>
      <c r="C55" s="6" t="s">
        <v>106</v>
      </c>
    </row>
    <row r="56" spans="1:3" ht="15" x14ac:dyDescent="0.35">
      <c r="A56" s="4" t="s">
        <v>13</v>
      </c>
      <c r="B56" s="4" t="s">
        <v>107</v>
      </c>
      <c r="C56" s="4" t="s">
        <v>43</v>
      </c>
    </row>
    <row r="57" spans="1:3" ht="15" x14ac:dyDescent="0.35">
      <c r="A57" s="6" t="s">
        <v>13</v>
      </c>
      <c r="B57" s="6" t="s">
        <v>108</v>
      </c>
      <c r="C57" s="6" t="s">
        <v>81</v>
      </c>
    </row>
    <row r="58" spans="1:3" ht="15" x14ac:dyDescent="0.35">
      <c r="A58" s="4" t="s">
        <v>13</v>
      </c>
      <c r="B58" s="4" t="s">
        <v>109</v>
      </c>
      <c r="C58" s="4" t="s">
        <v>81</v>
      </c>
    </row>
    <row r="59" spans="1:3" ht="15" x14ac:dyDescent="0.35">
      <c r="A59" s="6" t="s">
        <v>13</v>
      </c>
      <c r="B59" s="6" t="s">
        <v>110</v>
      </c>
      <c r="C59" s="6" t="s">
        <v>52</v>
      </c>
    </row>
    <row r="60" spans="1:3" ht="15" x14ac:dyDescent="0.35">
      <c r="A60" s="4" t="s">
        <v>13</v>
      </c>
      <c r="B60" s="4" t="s">
        <v>111</v>
      </c>
      <c r="C60" s="4" t="s">
        <v>112</v>
      </c>
    </row>
    <row r="61" spans="1:3" ht="15" x14ac:dyDescent="0.35">
      <c r="A61" s="6" t="s">
        <v>13</v>
      </c>
      <c r="B61" s="6" t="s">
        <v>113</v>
      </c>
      <c r="C61" s="6" t="s">
        <v>114</v>
      </c>
    </row>
    <row r="62" spans="1:3" ht="15" x14ac:dyDescent="0.35">
      <c r="A62" s="4" t="s">
        <v>17</v>
      </c>
      <c r="B62" s="4" t="s">
        <v>115</v>
      </c>
      <c r="C62" s="4" t="s">
        <v>43</v>
      </c>
    </row>
    <row r="63" spans="1:3" ht="15" x14ac:dyDescent="0.35">
      <c r="A63" s="6" t="s">
        <v>17</v>
      </c>
      <c r="B63" s="6" t="s">
        <v>116</v>
      </c>
      <c r="C63" s="6" t="s">
        <v>49</v>
      </c>
    </row>
    <row r="64" spans="1:3" ht="15" x14ac:dyDescent="0.35">
      <c r="A64" s="4" t="s">
        <v>17</v>
      </c>
      <c r="B64" s="4" t="s">
        <v>117</v>
      </c>
      <c r="C64" s="4" t="s">
        <v>118</v>
      </c>
    </row>
    <row r="65" spans="1:3" ht="15" x14ac:dyDescent="0.35">
      <c r="A65" s="6" t="s">
        <v>17</v>
      </c>
      <c r="B65" s="6" t="s">
        <v>119</v>
      </c>
      <c r="C65" s="6" t="s">
        <v>120</v>
      </c>
    </row>
    <row r="66" spans="1:3" ht="15" x14ac:dyDescent="0.35">
      <c r="A66" s="4" t="s">
        <v>17</v>
      </c>
      <c r="B66" s="4" t="s">
        <v>121</v>
      </c>
      <c r="C66" s="4" t="s">
        <v>122</v>
      </c>
    </row>
    <row r="67" spans="1:3" ht="15" x14ac:dyDescent="0.35">
      <c r="A67" s="6" t="s">
        <v>35</v>
      </c>
      <c r="B67" s="6" t="s">
        <v>123</v>
      </c>
      <c r="C67" s="6" t="s">
        <v>124</v>
      </c>
    </row>
    <row r="68" spans="1:3" ht="15" x14ac:dyDescent="0.35">
      <c r="A68" s="4" t="s">
        <v>35</v>
      </c>
      <c r="B68" s="4" t="s">
        <v>125</v>
      </c>
      <c r="C68" s="4" t="s">
        <v>126</v>
      </c>
    </row>
    <row r="69" spans="1:3" ht="15" x14ac:dyDescent="0.35">
      <c r="A69" s="6" t="s">
        <v>34</v>
      </c>
      <c r="B69" s="6" t="s">
        <v>127</v>
      </c>
      <c r="C69" s="6" t="s">
        <v>52</v>
      </c>
    </row>
    <row r="70" spans="1:3" ht="15" x14ac:dyDescent="0.35">
      <c r="A70" s="4" t="s">
        <v>34</v>
      </c>
      <c r="B70" s="4" t="s">
        <v>128</v>
      </c>
      <c r="C70" s="4" t="s">
        <v>129</v>
      </c>
    </row>
    <row r="71" spans="1:3" ht="15" x14ac:dyDescent="0.35">
      <c r="A71" s="6" t="s">
        <v>22</v>
      </c>
      <c r="B71" s="6" t="s">
        <v>130</v>
      </c>
      <c r="C71" s="6" t="s">
        <v>43</v>
      </c>
    </row>
    <row r="72" spans="1:3" ht="15" x14ac:dyDescent="0.35">
      <c r="A72" s="4" t="s">
        <v>22</v>
      </c>
      <c r="B72" s="4" t="s">
        <v>131</v>
      </c>
      <c r="C72" s="4" t="s">
        <v>68</v>
      </c>
    </row>
    <row r="73" spans="1:3" ht="15" x14ac:dyDescent="0.35">
      <c r="A73" s="6" t="s">
        <v>22</v>
      </c>
      <c r="B73" s="6" t="s">
        <v>132</v>
      </c>
      <c r="C73" s="6" t="s">
        <v>65</v>
      </c>
    </row>
    <row r="74" spans="1:3" ht="15" x14ac:dyDescent="0.35">
      <c r="A74" s="4" t="s">
        <v>22</v>
      </c>
      <c r="B74" s="4" t="s">
        <v>133</v>
      </c>
      <c r="C74" s="4" t="s">
        <v>134</v>
      </c>
    </row>
    <row r="75" spans="1:3" ht="15" x14ac:dyDescent="0.35">
      <c r="A75" s="6" t="s">
        <v>21</v>
      </c>
      <c r="B75" s="6" t="s">
        <v>135</v>
      </c>
      <c r="C75" s="6" t="s">
        <v>43</v>
      </c>
    </row>
    <row r="76" spans="1:3" ht="15" x14ac:dyDescent="0.35">
      <c r="A76" s="4" t="s">
        <v>21</v>
      </c>
      <c r="B76" s="4" t="s">
        <v>136</v>
      </c>
      <c r="C76" s="4" t="s">
        <v>49</v>
      </c>
    </row>
    <row r="77" spans="1:3" ht="15" x14ac:dyDescent="0.35">
      <c r="A77" s="6" t="s">
        <v>21</v>
      </c>
      <c r="B77" s="6" t="s">
        <v>137</v>
      </c>
      <c r="C77" s="6" t="s">
        <v>138</v>
      </c>
    </row>
    <row r="78" spans="1:3" ht="15" x14ac:dyDescent="0.35">
      <c r="A78" s="4" t="s">
        <v>21</v>
      </c>
      <c r="B78" s="4" t="s">
        <v>139</v>
      </c>
      <c r="C78" s="4" t="s">
        <v>140</v>
      </c>
    </row>
    <row r="79" spans="1:3" ht="15" x14ac:dyDescent="0.35">
      <c r="A79" s="6" t="s">
        <v>15</v>
      </c>
      <c r="B79" s="6" t="s">
        <v>141</v>
      </c>
      <c r="C79" s="6" t="s">
        <v>49</v>
      </c>
    </row>
    <row r="80" spans="1:3" ht="15" x14ac:dyDescent="0.35">
      <c r="A80" s="4" t="s">
        <v>15</v>
      </c>
      <c r="B80" s="4" t="s">
        <v>142</v>
      </c>
      <c r="C80" s="4" t="s">
        <v>49</v>
      </c>
    </row>
    <row r="81" spans="1:3" ht="15" x14ac:dyDescent="0.35">
      <c r="A81" s="6" t="s">
        <v>15</v>
      </c>
      <c r="B81" s="6" t="s">
        <v>143</v>
      </c>
      <c r="C81" s="6" t="s">
        <v>74</v>
      </c>
    </row>
    <row r="82" spans="1:3" ht="15" x14ac:dyDescent="0.35">
      <c r="A82" s="4" t="s">
        <v>15</v>
      </c>
      <c r="B82" s="4" t="s">
        <v>144</v>
      </c>
      <c r="C82" s="4" t="s">
        <v>145</v>
      </c>
    </row>
    <row r="83" spans="1:3" ht="15" x14ac:dyDescent="0.35">
      <c r="A83" s="6" t="s">
        <v>15</v>
      </c>
      <c r="B83" s="6" t="s">
        <v>146</v>
      </c>
      <c r="C83" s="6" t="s">
        <v>145</v>
      </c>
    </row>
    <row r="84" spans="1:3" ht="15" x14ac:dyDescent="0.35">
      <c r="A84" s="4" t="s">
        <v>15</v>
      </c>
      <c r="B84" s="4" t="s">
        <v>111</v>
      </c>
      <c r="C84" s="4" t="s">
        <v>147</v>
      </c>
    </row>
    <row r="85" spans="1:3" ht="15" x14ac:dyDescent="0.35">
      <c r="A85" s="6" t="s">
        <v>33</v>
      </c>
      <c r="B85" s="6" t="s">
        <v>148</v>
      </c>
      <c r="C85" s="6" t="s">
        <v>74</v>
      </c>
    </row>
    <row r="86" spans="1:3" ht="15" x14ac:dyDescent="0.35">
      <c r="A86" s="4" t="s">
        <v>33</v>
      </c>
      <c r="B86" s="4" t="s">
        <v>149</v>
      </c>
      <c r="C86" s="4" t="s">
        <v>138</v>
      </c>
    </row>
    <row r="87" spans="1:3" ht="15" x14ac:dyDescent="0.35">
      <c r="A87" s="6" t="s">
        <v>32</v>
      </c>
      <c r="B87" s="6" t="s">
        <v>150</v>
      </c>
      <c r="C87" s="6" t="s">
        <v>43</v>
      </c>
    </row>
    <row r="88" spans="1:3" ht="15" x14ac:dyDescent="0.35">
      <c r="A88" s="4" t="s">
        <v>32</v>
      </c>
      <c r="B88" s="4" t="s">
        <v>151</v>
      </c>
      <c r="C88" s="4" t="s">
        <v>49</v>
      </c>
    </row>
    <row r="89" spans="1:3" ht="15" x14ac:dyDescent="0.35">
      <c r="A89" s="6" t="s">
        <v>20</v>
      </c>
      <c r="B89" s="6" t="s">
        <v>152</v>
      </c>
      <c r="C89" s="6" t="s">
        <v>43</v>
      </c>
    </row>
    <row r="90" spans="1:3" ht="15" x14ac:dyDescent="0.35">
      <c r="A90" s="4" t="s">
        <v>20</v>
      </c>
      <c r="B90" s="4" t="s">
        <v>153</v>
      </c>
      <c r="C90" s="4" t="s">
        <v>43</v>
      </c>
    </row>
    <row r="91" spans="1:3" ht="15" x14ac:dyDescent="0.35">
      <c r="A91" s="6" t="s">
        <v>20</v>
      </c>
      <c r="B91" s="6" t="s">
        <v>154</v>
      </c>
      <c r="C91" s="6" t="s">
        <v>74</v>
      </c>
    </row>
    <row r="92" spans="1:3" ht="15" x14ac:dyDescent="0.35">
      <c r="A92" s="4" t="s">
        <v>20</v>
      </c>
      <c r="B92" s="4" t="s">
        <v>155</v>
      </c>
      <c r="C92" s="4" t="s">
        <v>156</v>
      </c>
    </row>
    <row r="93" spans="1:3" ht="15" x14ac:dyDescent="0.35">
      <c r="A93" s="6" t="s">
        <v>31</v>
      </c>
      <c r="B93" s="6" t="s">
        <v>157</v>
      </c>
      <c r="C93" s="6" t="s">
        <v>49</v>
      </c>
    </row>
    <row r="94" spans="1:3" ht="15" x14ac:dyDescent="0.35">
      <c r="A94" s="4" t="s">
        <v>31</v>
      </c>
      <c r="B94" s="4" t="s">
        <v>158</v>
      </c>
      <c r="C94" s="4" t="s">
        <v>138</v>
      </c>
    </row>
    <row r="95" spans="1:3" ht="15" x14ac:dyDescent="0.35">
      <c r="A95" s="6" t="s">
        <v>19</v>
      </c>
      <c r="B95" s="6" t="s">
        <v>159</v>
      </c>
      <c r="C95" s="6" t="s">
        <v>43</v>
      </c>
    </row>
    <row r="96" spans="1:3" ht="15" x14ac:dyDescent="0.35">
      <c r="A96" s="4" t="s">
        <v>19</v>
      </c>
      <c r="B96" s="4" t="s">
        <v>160</v>
      </c>
      <c r="C96" s="4" t="s">
        <v>49</v>
      </c>
    </row>
    <row r="97" spans="1:3" ht="15" x14ac:dyDescent="0.35">
      <c r="A97" s="6" t="s">
        <v>19</v>
      </c>
      <c r="B97" s="6" t="s">
        <v>161</v>
      </c>
      <c r="C97" s="6" t="s">
        <v>52</v>
      </c>
    </row>
    <row r="98" spans="1:3" ht="15" x14ac:dyDescent="0.35">
      <c r="A98" s="4" t="s">
        <v>19</v>
      </c>
      <c r="B98" s="4" t="s">
        <v>162</v>
      </c>
      <c r="C98" s="4" t="s">
        <v>163</v>
      </c>
    </row>
    <row r="99" spans="1:3" ht="15" x14ac:dyDescent="0.35">
      <c r="A99" s="6" t="s">
        <v>19</v>
      </c>
      <c r="B99" s="6" t="s">
        <v>164</v>
      </c>
      <c r="C99" s="6" t="s">
        <v>165</v>
      </c>
    </row>
    <row r="100" spans="1:3" ht="15" x14ac:dyDescent="0.35">
      <c r="A100" s="4" t="s">
        <v>26</v>
      </c>
      <c r="B100" s="4" t="s">
        <v>166</v>
      </c>
      <c r="C100" s="4" t="s">
        <v>138</v>
      </c>
    </row>
    <row r="101" spans="1:3" ht="15" x14ac:dyDescent="0.35">
      <c r="A101" s="6" t="s">
        <v>26</v>
      </c>
      <c r="B101" s="6" t="s">
        <v>167</v>
      </c>
      <c r="C101" s="6" t="s">
        <v>52</v>
      </c>
    </row>
    <row r="102" spans="1:3" ht="15" x14ac:dyDescent="0.35">
      <c r="A102" s="4" t="s">
        <v>26</v>
      </c>
      <c r="B102" s="4" t="s">
        <v>168</v>
      </c>
      <c r="C102" s="4" t="s">
        <v>169</v>
      </c>
    </row>
    <row r="103" spans="1:3" ht="15" x14ac:dyDescent="0.35">
      <c r="A103" s="6" t="s">
        <v>18</v>
      </c>
      <c r="B103" s="6" t="s">
        <v>170</v>
      </c>
      <c r="C103" s="6" t="s">
        <v>49</v>
      </c>
    </row>
    <row r="104" spans="1:3" ht="15" x14ac:dyDescent="0.35">
      <c r="A104" s="4" t="s">
        <v>18</v>
      </c>
      <c r="B104" s="4" t="s">
        <v>171</v>
      </c>
      <c r="C104" s="4" t="s">
        <v>65</v>
      </c>
    </row>
    <row r="105" spans="1:3" ht="15" x14ac:dyDescent="0.35">
      <c r="A105" s="6" t="s">
        <v>18</v>
      </c>
      <c r="B105" s="6" t="s">
        <v>172</v>
      </c>
      <c r="C105" s="6" t="s">
        <v>68</v>
      </c>
    </row>
    <row r="106" spans="1:3" ht="15" x14ac:dyDescent="0.35">
      <c r="A106" s="4" t="s">
        <v>18</v>
      </c>
      <c r="B106" s="4" t="s">
        <v>173</v>
      </c>
      <c r="C106" s="4" t="s">
        <v>65</v>
      </c>
    </row>
    <row r="107" spans="1:3" ht="15" x14ac:dyDescent="0.35">
      <c r="A107" s="6" t="s">
        <v>18</v>
      </c>
      <c r="B107" s="6" t="s">
        <v>174</v>
      </c>
      <c r="C107" s="6" t="s">
        <v>175</v>
      </c>
    </row>
    <row r="108" spans="1:3" ht="15" x14ac:dyDescent="0.35">
      <c r="A108" s="4" t="s">
        <v>16</v>
      </c>
      <c r="B108" s="4" t="s">
        <v>176</v>
      </c>
      <c r="C108" s="4" t="s">
        <v>43</v>
      </c>
    </row>
    <row r="109" spans="1:3" ht="15" x14ac:dyDescent="0.35">
      <c r="A109" s="6" t="s">
        <v>16</v>
      </c>
      <c r="B109" s="6" t="s">
        <v>177</v>
      </c>
      <c r="C109" s="6" t="s">
        <v>49</v>
      </c>
    </row>
    <row r="110" spans="1:3" ht="15" x14ac:dyDescent="0.35">
      <c r="A110" s="4" t="s">
        <v>16</v>
      </c>
      <c r="B110" s="4" t="s">
        <v>178</v>
      </c>
      <c r="C110" s="4" t="s">
        <v>74</v>
      </c>
    </row>
    <row r="111" spans="1:3" ht="15" x14ac:dyDescent="0.35">
      <c r="A111" s="6" t="s">
        <v>16</v>
      </c>
      <c r="B111" s="6" t="s">
        <v>179</v>
      </c>
      <c r="C111" s="6" t="s">
        <v>138</v>
      </c>
    </row>
    <row r="112" spans="1:3" ht="15" x14ac:dyDescent="0.35">
      <c r="A112" s="4" t="s">
        <v>16</v>
      </c>
      <c r="B112" s="4" t="s">
        <v>180</v>
      </c>
      <c r="C112" s="4" t="s">
        <v>52</v>
      </c>
    </row>
    <row r="113" spans="1:3" ht="15" x14ac:dyDescent="0.35">
      <c r="A113" s="6" t="s">
        <v>30</v>
      </c>
      <c r="B113" s="6" t="s">
        <v>181</v>
      </c>
      <c r="C113" s="6" t="s">
        <v>182</v>
      </c>
    </row>
    <row r="114" spans="1:3" ht="15" x14ac:dyDescent="0.35">
      <c r="A114" s="4" t="s">
        <v>30</v>
      </c>
      <c r="B114" s="4" t="s">
        <v>183</v>
      </c>
      <c r="C114" s="4" t="s">
        <v>184</v>
      </c>
    </row>
    <row r="115" spans="1:3" ht="15" x14ac:dyDescent="0.35">
      <c r="A115" s="6" t="s">
        <v>25</v>
      </c>
      <c r="B115" s="6" t="s">
        <v>185</v>
      </c>
      <c r="C115" s="6" t="s">
        <v>74</v>
      </c>
    </row>
    <row r="116" spans="1:3" ht="15" x14ac:dyDescent="0.35">
      <c r="A116" s="4" t="s">
        <v>25</v>
      </c>
      <c r="B116" s="4" t="s">
        <v>186</v>
      </c>
      <c r="C116" s="4" t="s">
        <v>187</v>
      </c>
    </row>
    <row r="117" spans="1:3" ht="15" x14ac:dyDescent="0.35">
      <c r="A117" s="6" t="s">
        <v>25</v>
      </c>
      <c r="B117" s="6" t="s">
        <v>188</v>
      </c>
      <c r="C117" s="6" t="s">
        <v>189</v>
      </c>
    </row>
    <row r="118" spans="1:3" ht="15" x14ac:dyDescent="0.35">
      <c r="A118" s="4" t="s">
        <v>23</v>
      </c>
      <c r="B118" s="4" t="s">
        <v>190</v>
      </c>
      <c r="C118" s="4" t="s">
        <v>43</v>
      </c>
    </row>
    <row r="119" spans="1:3" ht="15" x14ac:dyDescent="0.35">
      <c r="A119" s="6" t="s">
        <v>23</v>
      </c>
      <c r="B119" s="6" t="s">
        <v>191</v>
      </c>
      <c r="C119" s="6" t="s">
        <v>104</v>
      </c>
    </row>
    <row r="120" spans="1:3" ht="15" x14ac:dyDescent="0.35">
      <c r="A120" s="4" t="s">
        <v>23</v>
      </c>
      <c r="B120" s="4" t="s">
        <v>192</v>
      </c>
      <c r="C120" s="4" t="s">
        <v>193</v>
      </c>
    </row>
    <row r="121" spans="1:3" ht="15" x14ac:dyDescent="0.35">
      <c r="A121" s="6" t="s">
        <v>23</v>
      </c>
      <c r="B121" s="6" t="s">
        <v>194</v>
      </c>
      <c r="C121" s="6" t="s">
        <v>195</v>
      </c>
    </row>
    <row r="122" spans="1:3" ht="15" x14ac:dyDescent="0.35">
      <c r="A122" s="4" t="s">
        <v>27</v>
      </c>
      <c r="B122" s="4" t="s">
        <v>196</v>
      </c>
      <c r="C122" s="4" t="s">
        <v>43</v>
      </c>
    </row>
    <row r="123" spans="1:3" ht="15" x14ac:dyDescent="0.35">
      <c r="A123" s="6" t="s">
        <v>27</v>
      </c>
      <c r="B123" s="6" t="s">
        <v>197</v>
      </c>
      <c r="C123" s="6" t="s">
        <v>74</v>
      </c>
    </row>
    <row r="124" spans="1:3" ht="15" x14ac:dyDescent="0.35">
      <c r="A124" s="4" t="s">
        <v>10</v>
      </c>
      <c r="B124" s="4" t="s">
        <v>198</v>
      </c>
      <c r="C124" s="4" t="s">
        <v>43</v>
      </c>
    </row>
    <row r="125" spans="1:3" ht="15" x14ac:dyDescent="0.35">
      <c r="A125" s="6" t="s">
        <v>10</v>
      </c>
      <c r="B125" s="6" t="s">
        <v>199</v>
      </c>
      <c r="C125" s="6" t="s">
        <v>49</v>
      </c>
    </row>
    <row r="126" spans="1:3" ht="15" x14ac:dyDescent="0.35">
      <c r="A126" s="4" t="s">
        <v>10</v>
      </c>
      <c r="B126" s="4" t="s">
        <v>200</v>
      </c>
      <c r="C126" s="4" t="s">
        <v>138</v>
      </c>
    </row>
    <row r="127" spans="1:3" ht="15" x14ac:dyDescent="0.35">
      <c r="A127" s="6" t="s">
        <v>10</v>
      </c>
      <c r="B127" s="6" t="s">
        <v>201</v>
      </c>
      <c r="C127" s="6" t="s">
        <v>52</v>
      </c>
    </row>
    <row r="128" spans="1:3" ht="15" x14ac:dyDescent="0.35">
      <c r="A128" s="4" t="s">
        <v>10</v>
      </c>
      <c r="B128" s="4" t="s">
        <v>202</v>
      </c>
      <c r="C128" s="4" t="s">
        <v>52</v>
      </c>
    </row>
    <row r="129" spans="1:3" ht="15" x14ac:dyDescent="0.35">
      <c r="A129" s="6" t="s">
        <v>10</v>
      </c>
      <c r="B129" s="6" t="s">
        <v>203</v>
      </c>
      <c r="C129" s="6" t="s">
        <v>204</v>
      </c>
    </row>
    <row r="130" spans="1:3" ht="15" x14ac:dyDescent="0.35">
      <c r="A130" s="4" t="s">
        <v>10</v>
      </c>
      <c r="B130" s="4" t="s">
        <v>205</v>
      </c>
      <c r="C130" s="4" t="s">
        <v>204</v>
      </c>
    </row>
    <row r="131" spans="1:3" ht="15" x14ac:dyDescent="0.35">
      <c r="A131" s="6" t="s">
        <v>24</v>
      </c>
      <c r="B131" s="6" t="s">
        <v>206</v>
      </c>
      <c r="C131" s="6" t="s">
        <v>43</v>
      </c>
    </row>
    <row r="132" spans="1:3" ht="15" x14ac:dyDescent="0.35">
      <c r="A132" s="4" t="s">
        <v>24</v>
      </c>
      <c r="B132" s="4" t="s">
        <v>207</v>
      </c>
      <c r="C132" s="4" t="s">
        <v>138</v>
      </c>
    </row>
    <row r="133" spans="1:3" ht="15" x14ac:dyDescent="0.35">
      <c r="A133" s="6" t="s">
        <v>24</v>
      </c>
      <c r="B133" s="6" t="s">
        <v>208</v>
      </c>
      <c r="C133" s="6" t="s">
        <v>209</v>
      </c>
    </row>
    <row r="134" spans="1:3" ht="15" x14ac:dyDescent="0.35">
      <c r="A134" s="4" t="s">
        <v>14</v>
      </c>
      <c r="B134" s="4" t="s">
        <v>210</v>
      </c>
      <c r="C134" s="4" t="s">
        <v>49</v>
      </c>
    </row>
    <row r="135" spans="1:3" ht="15" x14ac:dyDescent="0.35">
      <c r="A135" s="6" t="s">
        <v>14</v>
      </c>
      <c r="B135" s="6" t="s">
        <v>211</v>
      </c>
      <c r="C135" s="6" t="s">
        <v>49</v>
      </c>
    </row>
    <row r="136" spans="1:3" ht="15" x14ac:dyDescent="0.35">
      <c r="A136" s="4" t="s">
        <v>14</v>
      </c>
      <c r="B136" s="4" t="s">
        <v>212</v>
      </c>
      <c r="C136" s="4" t="s">
        <v>49</v>
      </c>
    </row>
    <row r="137" spans="1:3" ht="15" x14ac:dyDescent="0.35">
      <c r="A137" s="6" t="s">
        <v>14</v>
      </c>
      <c r="B137" s="6" t="s">
        <v>213</v>
      </c>
      <c r="C137" s="6" t="s">
        <v>52</v>
      </c>
    </row>
    <row r="138" spans="1:3" ht="15" x14ac:dyDescent="0.35">
      <c r="A138" s="4" t="s">
        <v>14</v>
      </c>
      <c r="B138" s="4" t="s">
        <v>214</v>
      </c>
      <c r="C138" s="4" t="s">
        <v>215</v>
      </c>
    </row>
    <row r="139" spans="1:3" ht="15" x14ac:dyDescent="0.35">
      <c r="A139" s="6" t="s">
        <v>14</v>
      </c>
      <c r="B139" s="6" t="s">
        <v>216</v>
      </c>
      <c r="C139" s="6" t="s">
        <v>215</v>
      </c>
    </row>
    <row r="140" spans="1:3" ht="15" x14ac:dyDescent="0.35">
      <c r="A140" s="4" t="s">
        <v>9</v>
      </c>
      <c r="B140" s="4" t="s">
        <v>217</v>
      </c>
      <c r="C140" s="4" t="s">
        <v>138</v>
      </c>
    </row>
    <row r="141" spans="1:3" ht="15" x14ac:dyDescent="0.35">
      <c r="A141" s="6" t="s">
        <v>9</v>
      </c>
      <c r="B141" s="6" t="s">
        <v>218</v>
      </c>
      <c r="C141" s="6" t="s">
        <v>138</v>
      </c>
    </row>
    <row r="142" spans="1:3" ht="15" x14ac:dyDescent="0.35">
      <c r="A142" s="4" t="s">
        <v>9</v>
      </c>
      <c r="B142" s="4" t="s">
        <v>219</v>
      </c>
      <c r="C142" s="4" t="s">
        <v>52</v>
      </c>
    </row>
    <row r="143" spans="1:3" ht="15" x14ac:dyDescent="0.35">
      <c r="A143" s="6" t="s">
        <v>9</v>
      </c>
      <c r="B143" s="6" t="s">
        <v>220</v>
      </c>
      <c r="C143" s="6" t="s">
        <v>52</v>
      </c>
    </row>
    <row r="144" spans="1:3" ht="15" x14ac:dyDescent="0.35">
      <c r="A144" s="4" t="s">
        <v>9</v>
      </c>
      <c r="B144" s="4" t="s">
        <v>221</v>
      </c>
      <c r="C144" s="4" t="s">
        <v>222</v>
      </c>
    </row>
    <row r="145" spans="1:3" ht="15" x14ac:dyDescent="0.35">
      <c r="A145" s="6" t="s">
        <v>9</v>
      </c>
      <c r="B145" s="6" t="s">
        <v>223</v>
      </c>
      <c r="C145" s="6" t="s">
        <v>224</v>
      </c>
    </row>
    <row r="146" spans="1:3" ht="15" x14ac:dyDescent="0.35">
      <c r="A146" s="4" t="s">
        <v>9</v>
      </c>
      <c r="B146" s="4" t="s">
        <v>225</v>
      </c>
      <c r="C146" s="4" t="s">
        <v>226</v>
      </c>
    </row>
    <row r="147" spans="1:3" ht="15" x14ac:dyDescent="0.35">
      <c r="A147" s="6" t="s">
        <v>9</v>
      </c>
      <c r="B147" s="6" t="s">
        <v>227</v>
      </c>
      <c r="C147" s="6" t="s">
        <v>68</v>
      </c>
    </row>
    <row r="148" spans="1:3" ht="15" x14ac:dyDescent="0.35">
      <c r="A148" s="4" t="s">
        <v>9</v>
      </c>
      <c r="B148" s="4" t="s">
        <v>228</v>
      </c>
      <c r="C148" s="4" t="s">
        <v>65</v>
      </c>
    </row>
    <row r="149" spans="1:3" ht="15" x14ac:dyDescent="0.35">
      <c r="A149" s="6" t="s">
        <v>9</v>
      </c>
      <c r="B149" s="6" t="s">
        <v>229</v>
      </c>
      <c r="C149" s="6" t="s">
        <v>65</v>
      </c>
    </row>
    <row r="150" spans="1:3" ht="15" x14ac:dyDescent="0.35">
      <c r="A150" s="4" t="s">
        <v>9</v>
      </c>
      <c r="B150" s="4" t="s">
        <v>230</v>
      </c>
      <c r="C150" s="4" t="s">
        <v>65</v>
      </c>
    </row>
    <row r="151" spans="1:3" ht="15" x14ac:dyDescent="0.35">
      <c r="A151" s="6" t="s">
        <v>9</v>
      </c>
      <c r="B151" s="6" t="s">
        <v>231</v>
      </c>
      <c r="C151" s="6" t="s">
        <v>68</v>
      </c>
    </row>
    <row r="152" spans="1:3" ht="15" x14ac:dyDescent="0.35">
      <c r="A152" s="4" t="s">
        <v>9</v>
      </c>
      <c r="B152" s="4" t="s">
        <v>232</v>
      </c>
      <c r="C152" s="4" t="s">
        <v>65</v>
      </c>
    </row>
    <row r="153" spans="1:3" ht="15" x14ac:dyDescent="0.35">
      <c r="A153" s="6" t="s">
        <v>28</v>
      </c>
      <c r="B153" s="6" t="s">
        <v>233</v>
      </c>
      <c r="C153" s="6" t="s">
        <v>118</v>
      </c>
    </row>
    <row r="154" spans="1:3" ht="15" x14ac:dyDescent="0.35">
      <c r="A154" s="4" t="s">
        <v>28</v>
      </c>
      <c r="B154" s="4" t="s">
        <v>234</v>
      </c>
      <c r="C154" s="4" t="s">
        <v>138</v>
      </c>
    </row>
    <row r="155" spans="1:3" ht="15" x14ac:dyDescent="0.35">
      <c r="A155" s="6" t="s">
        <v>37</v>
      </c>
      <c r="B155" s="6" t="s">
        <v>235</v>
      </c>
      <c r="C155" s="6" t="s">
        <v>43</v>
      </c>
    </row>
    <row r="156" spans="1:3" ht="15" x14ac:dyDescent="0.35">
      <c r="A156" s="4" t="s">
        <v>37</v>
      </c>
      <c r="B156" s="4" t="s">
        <v>236</v>
      </c>
      <c r="C156" s="4" t="s">
        <v>138</v>
      </c>
    </row>
  </sheetData>
  <autoFilter ref="A3:C1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48"/>
  <sheetViews>
    <sheetView workbookViewId="0"/>
  </sheetViews>
  <sheetFormatPr baseColWidth="10" defaultColWidth="8.88671875" defaultRowHeight="14.4" x14ac:dyDescent="0.3"/>
  <cols>
    <col min="1" max="1" width="12" customWidth="1"/>
    <col min="2" max="2" width="60" customWidth="1"/>
    <col min="3" max="3" width="22" customWidth="1"/>
  </cols>
  <sheetData>
    <row r="2" spans="2:3" ht="24.6" x14ac:dyDescent="0.55000000000000004">
      <c r="B2" s="1" t="s">
        <v>237</v>
      </c>
    </row>
    <row r="4" spans="2:3" ht="16.8" x14ac:dyDescent="0.4">
      <c r="B4" s="3" t="s">
        <v>41</v>
      </c>
      <c r="C4" s="3" t="s">
        <v>238</v>
      </c>
    </row>
    <row r="5" spans="2:3" ht="15" x14ac:dyDescent="0.35">
      <c r="B5" s="6" t="s">
        <v>52</v>
      </c>
      <c r="C5" s="7">
        <v>24</v>
      </c>
    </row>
    <row r="6" spans="2:3" ht="15" x14ac:dyDescent="0.35">
      <c r="B6" s="4" t="s">
        <v>43</v>
      </c>
      <c r="C6" s="5">
        <v>22</v>
      </c>
    </row>
    <row r="7" spans="2:3" ht="15" x14ac:dyDescent="0.35">
      <c r="B7" s="6" t="s">
        <v>65</v>
      </c>
      <c r="C7" s="7">
        <v>19</v>
      </c>
    </row>
    <row r="8" spans="2:3" ht="15" x14ac:dyDescent="0.35">
      <c r="B8" s="4" t="s">
        <v>49</v>
      </c>
      <c r="C8" s="5">
        <v>18</v>
      </c>
    </row>
    <row r="9" spans="2:3" ht="15" x14ac:dyDescent="0.35">
      <c r="B9" s="6" t="s">
        <v>138</v>
      </c>
      <c r="C9" s="7">
        <v>11</v>
      </c>
    </row>
    <row r="10" spans="2:3" ht="15" x14ac:dyDescent="0.35">
      <c r="B10" s="4" t="s">
        <v>74</v>
      </c>
      <c r="C10" s="5">
        <v>9</v>
      </c>
    </row>
    <row r="11" spans="2:3" ht="15" x14ac:dyDescent="0.35">
      <c r="B11" s="6" t="s">
        <v>68</v>
      </c>
      <c r="C11" s="7">
        <v>5</v>
      </c>
    </row>
    <row r="12" spans="2:3" ht="15" x14ac:dyDescent="0.35">
      <c r="B12" s="4" t="s">
        <v>81</v>
      </c>
      <c r="C12" s="5">
        <v>4</v>
      </c>
    </row>
    <row r="13" spans="2:3" ht="15" x14ac:dyDescent="0.35">
      <c r="B13" s="6" t="s">
        <v>145</v>
      </c>
      <c r="C13" s="7">
        <v>2</v>
      </c>
    </row>
    <row r="14" spans="2:3" ht="15" x14ac:dyDescent="0.35">
      <c r="B14" s="4" t="s">
        <v>104</v>
      </c>
      <c r="C14" s="5">
        <v>2</v>
      </c>
    </row>
    <row r="15" spans="2:3" ht="15" x14ac:dyDescent="0.35">
      <c r="B15" s="6" t="s">
        <v>215</v>
      </c>
      <c r="C15" s="7">
        <v>2</v>
      </c>
    </row>
    <row r="16" spans="2:3" ht="15" x14ac:dyDescent="0.35">
      <c r="B16" s="4" t="s">
        <v>204</v>
      </c>
      <c r="C16" s="5">
        <v>2</v>
      </c>
    </row>
    <row r="17" spans="2:3" ht="15" x14ac:dyDescent="0.35">
      <c r="B17" s="6" t="s">
        <v>118</v>
      </c>
      <c r="C17" s="7">
        <v>2</v>
      </c>
    </row>
    <row r="18" spans="2:3" ht="15" x14ac:dyDescent="0.35">
      <c r="B18" s="4" t="s">
        <v>60</v>
      </c>
      <c r="C18" s="5">
        <v>2</v>
      </c>
    </row>
    <row r="19" spans="2:3" ht="15" x14ac:dyDescent="0.35">
      <c r="B19" s="6" t="s">
        <v>169</v>
      </c>
      <c r="C19" s="7">
        <v>1</v>
      </c>
    </row>
    <row r="20" spans="2:3" ht="15" x14ac:dyDescent="0.35">
      <c r="B20" s="4" t="s">
        <v>187</v>
      </c>
      <c r="C20" s="5">
        <v>1</v>
      </c>
    </row>
    <row r="21" spans="2:3" ht="15" x14ac:dyDescent="0.35">
      <c r="B21" s="6" t="s">
        <v>175</v>
      </c>
      <c r="C21" s="7">
        <v>1</v>
      </c>
    </row>
    <row r="22" spans="2:3" ht="15" x14ac:dyDescent="0.35">
      <c r="B22" s="4" t="s">
        <v>182</v>
      </c>
      <c r="C22" s="5">
        <v>1</v>
      </c>
    </row>
    <row r="23" spans="2:3" ht="15" x14ac:dyDescent="0.35">
      <c r="B23" s="6" t="s">
        <v>184</v>
      </c>
      <c r="C23" s="7">
        <v>1</v>
      </c>
    </row>
    <row r="24" spans="2:3" ht="15" x14ac:dyDescent="0.35">
      <c r="B24" s="4" t="s">
        <v>209</v>
      </c>
      <c r="C24" s="5">
        <v>1</v>
      </c>
    </row>
    <row r="25" spans="2:3" ht="15" x14ac:dyDescent="0.35">
      <c r="B25" s="6" t="s">
        <v>189</v>
      </c>
      <c r="C25" s="7">
        <v>1</v>
      </c>
    </row>
    <row r="26" spans="2:3" ht="15" x14ac:dyDescent="0.35">
      <c r="B26" s="4" t="s">
        <v>193</v>
      </c>
      <c r="C26" s="5">
        <v>1</v>
      </c>
    </row>
    <row r="27" spans="2:3" ht="15" x14ac:dyDescent="0.35">
      <c r="B27" s="6" t="s">
        <v>195</v>
      </c>
      <c r="C27" s="7">
        <v>1</v>
      </c>
    </row>
    <row r="28" spans="2:3" ht="15" x14ac:dyDescent="0.35">
      <c r="B28" s="4" t="s">
        <v>163</v>
      </c>
      <c r="C28" s="5">
        <v>1</v>
      </c>
    </row>
    <row r="29" spans="2:3" ht="15" x14ac:dyDescent="0.35">
      <c r="B29" s="6" t="s">
        <v>222</v>
      </c>
      <c r="C29" s="7">
        <v>1</v>
      </c>
    </row>
    <row r="30" spans="2:3" ht="15" x14ac:dyDescent="0.35">
      <c r="B30" s="4" t="s">
        <v>224</v>
      </c>
      <c r="C30" s="5">
        <v>1</v>
      </c>
    </row>
    <row r="31" spans="2:3" ht="15" x14ac:dyDescent="0.35">
      <c r="B31" s="6" t="s">
        <v>165</v>
      </c>
      <c r="C31" s="7">
        <v>1</v>
      </c>
    </row>
    <row r="32" spans="2:3" ht="15" x14ac:dyDescent="0.35">
      <c r="B32" s="4" t="s">
        <v>134</v>
      </c>
      <c r="C32" s="5">
        <v>1</v>
      </c>
    </row>
    <row r="33" spans="2:3" ht="15" x14ac:dyDescent="0.35">
      <c r="B33" s="6" t="s">
        <v>156</v>
      </c>
      <c r="C33" s="7">
        <v>1</v>
      </c>
    </row>
    <row r="34" spans="2:3" ht="15" x14ac:dyDescent="0.35">
      <c r="B34" s="4" t="s">
        <v>147</v>
      </c>
      <c r="C34" s="5">
        <v>1</v>
      </c>
    </row>
    <row r="35" spans="2:3" ht="15" x14ac:dyDescent="0.35">
      <c r="B35" s="6" t="s">
        <v>140</v>
      </c>
      <c r="C35" s="7">
        <v>1</v>
      </c>
    </row>
    <row r="36" spans="2:3" ht="15" x14ac:dyDescent="0.35">
      <c r="B36" s="4" t="s">
        <v>45</v>
      </c>
      <c r="C36" s="5">
        <v>1</v>
      </c>
    </row>
    <row r="37" spans="2:3" ht="15" x14ac:dyDescent="0.35">
      <c r="B37" s="6" t="s">
        <v>129</v>
      </c>
      <c r="C37" s="7">
        <v>1</v>
      </c>
    </row>
    <row r="38" spans="2:3" ht="15" x14ac:dyDescent="0.35">
      <c r="B38" s="4" t="s">
        <v>126</v>
      </c>
      <c r="C38" s="5">
        <v>1</v>
      </c>
    </row>
    <row r="39" spans="2:3" ht="15" x14ac:dyDescent="0.35">
      <c r="B39" s="6" t="s">
        <v>124</v>
      </c>
      <c r="C39" s="7">
        <v>1</v>
      </c>
    </row>
    <row r="40" spans="2:3" ht="15" x14ac:dyDescent="0.35">
      <c r="B40" s="4" t="s">
        <v>122</v>
      </c>
      <c r="C40" s="5">
        <v>1</v>
      </c>
    </row>
    <row r="41" spans="2:3" ht="15" x14ac:dyDescent="0.35">
      <c r="B41" s="6" t="s">
        <v>120</v>
      </c>
      <c r="C41" s="7">
        <v>1</v>
      </c>
    </row>
    <row r="42" spans="2:3" ht="15" x14ac:dyDescent="0.35">
      <c r="B42" s="4" t="s">
        <v>114</v>
      </c>
      <c r="C42" s="5">
        <v>1</v>
      </c>
    </row>
    <row r="43" spans="2:3" ht="15" x14ac:dyDescent="0.35">
      <c r="B43" s="6" t="s">
        <v>112</v>
      </c>
      <c r="C43" s="7">
        <v>1</v>
      </c>
    </row>
    <row r="44" spans="2:3" ht="15" x14ac:dyDescent="0.35">
      <c r="B44" s="4" t="s">
        <v>106</v>
      </c>
      <c r="C44" s="5">
        <v>1</v>
      </c>
    </row>
    <row r="45" spans="2:3" ht="15" x14ac:dyDescent="0.35">
      <c r="B45" s="6" t="s">
        <v>90</v>
      </c>
      <c r="C45" s="7">
        <v>1</v>
      </c>
    </row>
    <row r="46" spans="2:3" ht="15" x14ac:dyDescent="0.35">
      <c r="B46" s="4" t="s">
        <v>63</v>
      </c>
      <c r="C46" s="5">
        <v>1</v>
      </c>
    </row>
    <row r="47" spans="2:3" ht="15" x14ac:dyDescent="0.35">
      <c r="B47" s="6" t="s">
        <v>226</v>
      </c>
      <c r="C47" s="7">
        <v>1</v>
      </c>
    </row>
    <row r="48" spans="2:3" ht="15" x14ac:dyDescent="0.35">
      <c r="B48" s="8" t="s">
        <v>38</v>
      </c>
      <c r="C48" s="9">
        <f>SUM(C5:C47)</f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y Dashboard</vt:lpstr>
      <vt:lpstr>Listado Completo</vt:lpstr>
      <vt:lpstr>Análisis por Partido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ECHEVERRY Echeverry Ocampo</cp:lastModifiedBy>
  <dcterms:created xsi:type="dcterms:W3CDTF">2026-06-12T16:10:03Z</dcterms:created>
  <dcterms:modified xsi:type="dcterms:W3CDTF">2026-06-13T15:18:14Z</dcterms:modified>
</cp:coreProperties>
</file>